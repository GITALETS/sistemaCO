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ts\OneDrive\Escritorio\CFE COS\"/>
    </mc:Choice>
  </mc:AlternateContent>
  <xr:revisionPtr revIDLastSave="0" documentId="13_ncr:1_{BF060CC5-55F1-4DE9-8A8E-C31C7F762CAA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Hoja1!$B$1:$H$57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35" i="1"/>
  <c r="H37" i="1" l="1"/>
</calcChain>
</file>

<file path=xl/sharedStrings.xml><?xml version="1.0" encoding="utf-8"?>
<sst xmlns="http://schemas.openxmlformats.org/spreadsheetml/2006/main" count="97" uniqueCount="86">
  <si>
    <t xml:space="preserve"> </t>
  </si>
  <si>
    <t>FACTOR/PUNTUACION</t>
  </si>
  <si>
    <t>PUNTOS</t>
  </si>
  <si>
    <t>CONOCIMIENTO DEL PUESTO</t>
  </si>
  <si>
    <t>DESTREZA</t>
  </si>
  <si>
    <t>CONFIABILIDAD</t>
  </si>
  <si>
    <t>RAZONAMIENTO</t>
  </si>
  <si>
    <t>DOTES DE OBSERVACION</t>
  </si>
  <si>
    <t>TOTAL APTITUDES</t>
  </si>
  <si>
    <t>APSOLUTO DOMINIO</t>
  </si>
  <si>
    <t>MUY HABILIDOSO</t>
  </si>
  <si>
    <t>ABSOLUTA</t>
  </si>
  <si>
    <t>EXTRAORDINARIO</t>
  </si>
  <si>
    <t>EXELENTES</t>
  </si>
  <si>
    <t>BUENO</t>
  </si>
  <si>
    <t>SUPERIOR AL PROMEDIO</t>
  </si>
  <si>
    <t>MINIMO NECESARIO</t>
  </si>
  <si>
    <t>SUFICIENTES HABILIDADES</t>
  </si>
  <si>
    <t>PROMEDIO</t>
  </si>
  <si>
    <t>DESEMPEÑO CON DIFICULTAD</t>
  </si>
  <si>
    <t>POCO HABILIDOSO</t>
  </si>
  <si>
    <t>INFERIOR AL PROMEDIO</t>
  </si>
  <si>
    <t>DIFICULTAD DE ANALISIS</t>
  </si>
  <si>
    <t>DEFICIENTE</t>
  </si>
  <si>
    <t>INSATISFACTORIA</t>
  </si>
  <si>
    <t>MARCADAMENTE BAJO</t>
  </si>
  <si>
    <t>MUY DEFICIENTE</t>
  </si>
  <si>
    <t>VALORACION DE APTITUDES</t>
  </si>
  <si>
    <t>VALORACION DE APTITUDES Y ACTITUDES</t>
  </si>
  <si>
    <t>Valoracion de Aptitudes y Actitudes</t>
  </si>
  <si>
    <t>Direccion de Administracion</t>
  </si>
  <si>
    <t>Gerencia de Capacitacion</t>
  </si>
  <si>
    <t>CO-03-02</t>
  </si>
  <si>
    <t>Clave</t>
  </si>
  <si>
    <t>Revicion</t>
  </si>
  <si>
    <t>Fecha de Elaboracion</t>
  </si>
  <si>
    <t>VALORACION DE ACTITUDES</t>
  </si>
  <si>
    <t>APLICACIÓN</t>
  </si>
  <si>
    <t>TRATO</t>
  </si>
  <si>
    <t>DISCIPLINA</t>
  </si>
  <si>
    <t>SEGURIDAD EN EL TRABAJO</t>
  </si>
  <si>
    <t>ORDEN Y LIMPIEZA</t>
  </si>
  <si>
    <t>EXCEPCIONALMENTE ESMERADO</t>
  </si>
  <si>
    <t>FINO, EDUCADO, ATENTO, SOLICITO</t>
  </si>
  <si>
    <t>INTACHABLE CONDUCTA Y HABITOS</t>
  </si>
  <si>
    <t>EXCELENTE ORDEN Y ASEO PERSONAL Y DE SU AREA DE TRABAJO</t>
  </si>
  <si>
    <t>ACATAN NORMAS Y VIGILA QUE OTROS LAS CULPAN</t>
  </si>
  <si>
    <t>SUPERIOR AL NORMAL</t>
  </si>
  <si>
    <t>ATENTO, CORRECTO</t>
  </si>
  <si>
    <t>SE APEGA A PROCEDIMIENTOS, NORMAS E INSTRUCCIONES</t>
  </si>
  <si>
    <t>TRABAJA CON SEGURIDAD</t>
  </si>
  <si>
    <t xml:space="preserve">BUEN ASPECTO PERSONAL Y CONSERVA EN ORDEN SU AREA DE TRABAJO </t>
  </si>
  <si>
    <t>NO SE DIFICULTA</t>
  </si>
  <si>
    <t>COMPORTAMIENTO PROMEDIO</t>
  </si>
  <si>
    <t>CONSERVA LAS MINIMAS CONDICIONES DE SEGURIDAD</t>
  </si>
  <si>
    <t>ASPECTO REGULAR, ORDEN Y LIMPIEZA PROMEDIO</t>
  </si>
  <si>
    <t>BAJA</t>
  </si>
  <si>
    <t>DIFICIL, OBSTINADO</t>
  </si>
  <si>
    <t>SE REQUIIERE DE RESISTENCIA Y MUCHA SUPERVISION</t>
  </si>
  <si>
    <t>POCO INTERES POR MEDIDAS DE SEGURIDAD</t>
  </si>
  <si>
    <t>DESCUIDO EN SU ASPECTO PERSONAL Y/O POCO ORDEN EN SU AREA DE TRABAJO</t>
  </si>
  <si>
    <t>DESINTERESADO</t>
  </si>
  <si>
    <t>GROSERO IMPERTINENTE</t>
  </si>
  <si>
    <t>IMPREDECIBLE DESORDENADO</t>
  </si>
  <si>
    <t>SUMAMENTE DESCUIDADO E INSEGURO</t>
  </si>
  <si>
    <t>DESALINEADO Y DESCUIDO PERSONAL Y/O DESCUIDO DE SU AREA DE TRABAJO</t>
  </si>
  <si>
    <t>TOTAL</t>
  </si>
  <si>
    <t>NOMBRE Y FIRMA DEL RESPONSABLE DE LA VALORACION</t>
  </si>
  <si>
    <t>FECHA:</t>
  </si>
  <si>
    <t>PAGINA 1 DE 1</t>
  </si>
  <si>
    <t>CLAVE C0-03-02</t>
  </si>
  <si>
    <t>NOMBRE DEL TRABAJADOR:</t>
  </si>
  <si>
    <t>PUESTO DEL TRABAJADOR:</t>
  </si>
  <si>
    <t>CLAVE:</t>
  </si>
  <si>
    <t>RPE:</t>
  </si>
  <si>
    <t>PUESTO EN EL CUAL SE PROBARÁ:</t>
  </si>
  <si>
    <t>ÁREA DE TRABAJO:</t>
  </si>
  <si>
    <t>ZONA TOLUCA</t>
  </si>
  <si>
    <t>LIC. IVONNE REZA RUGERIO</t>
  </si>
  <si>
    <t>HORA: 16:00 HORAS</t>
  </si>
  <si>
    <t>623X5</t>
  </si>
  <si>
    <t>AYUDANTE LINIERO (SERVICIO AL CLIENTE)</t>
  </si>
  <si>
    <t>TEMPORAL SINDICALIZADO</t>
  </si>
  <si>
    <t>FECHA: 30 DE JULIO 2026</t>
  </si>
  <si>
    <t>G982P</t>
  </si>
  <si>
    <t xml:space="preserve">JOHAN JESUS ORIVE GAMA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</si>
</sst>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Continuous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66675</xdr:rowOff>
    </xdr:from>
    <xdr:to>
      <xdr:col>2</xdr:col>
      <xdr:colOff>323533</xdr:colOff>
      <xdr:row>3</xdr:row>
      <xdr:rowOff>57573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6675"/>
          <a:ext cx="2188528" cy="657648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447675</xdr:colOff>
      <xdr:row>0</xdr:row>
      <xdr:rowOff>104775</xdr:rowOff>
    </xdr:from>
    <xdr:to>
      <xdr:col>2</xdr:col>
      <xdr:colOff>1305836</xdr:colOff>
      <xdr:row>3</xdr:row>
      <xdr:rowOff>89125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854351" cy="647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showGridLines="0" tabSelected="1" view="pageBreakPreview" zoomScaleNormal="100" zoomScaleSheetLayoutView="100" workbookViewId="0">
      <selection activeCell="I20" sqref="I20"/>
    </sheetView>
  </sheetViews>
  <sheetFormatPr baseColWidth="10" defaultRowHeight="14.4" x14ac:dyDescent="0.3"/>
  <cols>
    <col min="2" max="2" width="29.88671875" style="1" bestFit="1" customWidth="1"/>
    <col min="3" max="5" width="21.33203125" style="1" customWidth="1"/>
    <col min="6" max="6" width="20.88671875" style="1" bestFit="1" customWidth="1"/>
    <col min="7" max="7" width="19.88671875" style="1" bestFit="1" customWidth="1"/>
  </cols>
  <sheetData>
    <row r="1" spans="2:8" ht="18" x14ac:dyDescent="0.35">
      <c r="C1" s="6"/>
      <c r="D1" s="17" t="s">
        <v>30</v>
      </c>
      <c r="E1" s="17"/>
      <c r="F1" s="6"/>
      <c r="G1" s="11" t="s">
        <v>33</v>
      </c>
      <c r="H1" s="9" t="s">
        <v>32</v>
      </c>
    </row>
    <row r="2" spans="2:8" ht="18" x14ac:dyDescent="0.35">
      <c r="C2" s="6"/>
      <c r="D2" s="17" t="s">
        <v>31</v>
      </c>
      <c r="E2" s="17"/>
      <c r="F2" s="6"/>
      <c r="G2" s="11" t="s">
        <v>34</v>
      </c>
      <c r="H2" s="9">
        <v>1</v>
      </c>
    </row>
    <row r="3" spans="2:8" x14ac:dyDescent="0.3">
      <c r="G3" s="11" t="s">
        <v>35</v>
      </c>
      <c r="H3" s="10">
        <v>39121</v>
      </c>
    </row>
    <row r="5" spans="2:8" ht="18" x14ac:dyDescent="0.35">
      <c r="B5" s="17" t="s">
        <v>29</v>
      </c>
      <c r="C5" s="17"/>
      <c r="D5" s="17"/>
      <c r="E5" s="17"/>
      <c r="F5" s="17"/>
      <c r="G5" s="17"/>
      <c r="H5" s="17"/>
    </row>
    <row r="8" spans="2:8" ht="18" x14ac:dyDescent="0.35">
      <c r="B8" s="18" t="s">
        <v>28</v>
      </c>
      <c r="C8" s="18"/>
      <c r="D8" s="18"/>
      <c r="E8" s="18"/>
      <c r="F8" s="18"/>
      <c r="G8" s="18"/>
      <c r="H8" s="18"/>
    </row>
    <row r="10" spans="2:8" ht="18" customHeight="1" x14ac:dyDescent="0.3">
      <c r="B10" s="5" t="s">
        <v>76</v>
      </c>
      <c r="C10" s="21" t="s">
        <v>77</v>
      </c>
      <c r="D10" s="21"/>
      <c r="E10" s="21"/>
      <c r="F10" s="5" t="s">
        <v>73</v>
      </c>
      <c r="G10" s="12" t="s">
        <v>80</v>
      </c>
      <c r="H10" s="13"/>
    </row>
    <row r="11" spans="2:8" ht="18" customHeight="1" x14ac:dyDescent="0.3">
      <c r="B11" s="5" t="s">
        <v>71</v>
      </c>
      <c r="C11" s="19" t="s">
        <v>85</v>
      </c>
      <c r="D11" s="19"/>
      <c r="E11" s="19"/>
      <c r="F11" s="5" t="s">
        <v>74</v>
      </c>
      <c r="G11" s="12" t="s">
        <v>84</v>
      </c>
      <c r="H11" s="13"/>
    </row>
    <row r="12" spans="2:8" ht="18" customHeight="1" x14ac:dyDescent="0.3">
      <c r="B12" s="5" t="s">
        <v>72</v>
      </c>
      <c r="C12" s="22" t="s">
        <v>82</v>
      </c>
      <c r="D12" s="22"/>
      <c r="E12" s="22"/>
      <c r="F12" s="5"/>
    </row>
    <row r="13" spans="2:8" ht="18" customHeight="1" x14ac:dyDescent="0.3">
      <c r="B13" s="5" t="s">
        <v>75</v>
      </c>
      <c r="C13" s="22" t="s">
        <v>81</v>
      </c>
      <c r="D13" s="22"/>
      <c r="E13" s="22"/>
      <c r="F13" s="5" t="s">
        <v>68</v>
      </c>
      <c r="G13" s="14">
        <v>46233</v>
      </c>
      <c r="H13" s="13"/>
    </row>
    <row r="14" spans="2:8" ht="18" customHeight="1" x14ac:dyDescent="0.3">
      <c r="B14" s="5"/>
      <c r="F14" s="5"/>
    </row>
    <row r="15" spans="2:8" x14ac:dyDescent="0.3">
      <c r="G15" s="5"/>
    </row>
    <row r="16" spans="2:8" x14ac:dyDescent="0.3">
      <c r="B16" s="15" t="s">
        <v>27</v>
      </c>
      <c r="C16" s="15"/>
      <c r="D16" s="15"/>
      <c r="E16" s="15"/>
      <c r="F16" s="15"/>
      <c r="G16" s="15"/>
      <c r="H16" s="15"/>
    </row>
    <row r="18" spans="1:8" x14ac:dyDescent="0.3">
      <c r="A18" t="s">
        <v>0</v>
      </c>
      <c r="B18" s="2" t="s">
        <v>1</v>
      </c>
      <c r="C18" s="2">
        <v>10</v>
      </c>
      <c r="D18" s="2">
        <v>8</v>
      </c>
      <c r="E18" s="2">
        <v>6</v>
      </c>
      <c r="F18" s="2">
        <v>4</v>
      </c>
      <c r="G18" s="2">
        <v>2</v>
      </c>
      <c r="H18" s="2" t="s">
        <v>2</v>
      </c>
    </row>
    <row r="19" spans="1:8" ht="28.8" x14ac:dyDescent="0.3">
      <c r="B19" s="3" t="s">
        <v>3</v>
      </c>
      <c r="C19" s="3" t="s">
        <v>9</v>
      </c>
      <c r="D19" s="3" t="s">
        <v>14</v>
      </c>
      <c r="E19" s="3" t="s">
        <v>16</v>
      </c>
      <c r="F19" s="3" t="s">
        <v>19</v>
      </c>
      <c r="G19" s="3" t="s">
        <v>23</v>
      </c>
      <c r="H19" s="2">
        <v>8</v>
      </c>
    </row>
    <row r="20" spans="1:8" ht="28.8" x14ac:dyDescent="0.3">
      <c r="B20" s="3" t="s">
        <v>4</v>
      </c>
      <c r="C20" s="3" t="s">
        <v>10</v>
      </c>
      <c r="D20" s="3" t="s">
        <v>15</v>
      </c>
      <c r="E20" s="3" t="s">
        <v>17</v>
      </c>
      <c r="F20" s="3" t="s">
        <v>20</v>
      </c>
      <c r="G20" s="3" t="s">
        <v>23</v>
      </c>
      <c r="H20" s="2">
        <v>9</v>
      </c>
    </row>
    <row r="21" spans="1:8" ht="28.8" x14ac:dyDescent="0.3">
      <c r="B21" s="3" t="s">
        <v>5</v>
      </c>
      <c r="C21" s="3" t="s">
        <v>11</v>
      </c>
      <c r="D21" s="3" t="s">
        <v>15</v>
      </c>
      <c r="E21" s="3" t="s">
        <v>18</v>
      </c>
      <c r="F21" s="3" t="s">
        <v>21</v>
      </c>
      <c r="G21" s="3" t="s">
        <v>24</v>
      </c>
      <c r="H21" s="2">
        <v>10</v>
      </c>
    </row>
    <row r="22" spans="1:8" ht="28.8" x14ac:dyDescent="0.3">
      <c r="B22" s="3" t="s">
        <v>6</v>
      </c>
      <c r="C22" s="3" t="s">
        <v>12</v>
      </c>
      <c r="D22" s="3" t="s">
        <v>14</v>
      </c>
      <c r="E22" s="3" t="s">
        <v>18</v>
      </c>
      <c r="F22" s="3" t="s">
        <v>22</v>
      </c>
      <c r="G22" s="3" t="s">
        <v>25</v>
      </c>
      <c r="H22" s="2">
        <v>8</v>
      </c>
    </row>
    <row r="23" spans="1:8" ht="28.8" x14ac:dyDescent="0.3">
      <c r="B23" s="3" t="s">
        <v>7</v>
      </c>
      <c r="C23" s="3" t="s">
        <v>13</v>
      </c>
      <c r="D23" s="3" t="s">
        <v>15</v>
      </c>
      <c r="E23" s="3" t="s">
        <v>18</v>
      </c>
      <c r="F23" s="3" t="s">
        <v>21</v>
      </c>
      <c r="G23" s="3" t="s">
        <v>26</v>
      </c>
      <c r="H23" s="2">
        <v>10</v>
      </c>
    </row>
    <row r="24" spans="1:8" ht="23.25" customHeight="1" x14ac:dyDescent="0.3">
      <c r="B24" s="4"/>
      <c r="C24" s="4"/>
      <c r="D24" s="4"/>
      <c r="E24" s="4"/>
      <c r="F24" s="4"/>
      <c r="G24" s="2" t="s">
        <v>8</v>
      </c>
      <c r="H24" s="2">
        <f>SUM(H19:H23)</f>
        <v>45</v>
      </c>
    </row>
    <row r="27" spans="1:8" x14ac:dyDescent="0.3">
      <c r="B27" s="15" t="s">
        <v>36</v>
      </c>
      <c r="C27" s="15"/>
      <c r="D27" s="15"/>
      <c r="E27" s="15"/>
      <c r="F27" s="15"/>
      <c r="G27" s="15"/>
      <c r="H27" s="15"/>
    </row>
    <row r="29" spans="1:8" x14ac:dyDescent="0.3">
      <c r="B29" s="2" t="s">
        <v>1</v>
      </c>
      <c r="C29" s="2">
        <v>10</v>
      </c>
      <c r="D29" s="2">
        <v>8</v>
      </c>
      <c r="E29" s="2">
        <v>6</v>
      </c>
      <c r="F29" s="2">
        <v>4</v>
      </c>
      <c r="G29" s="2">
        <v>2</v>
      </c>
      <c r="H29" s="2" t="s">
        <v>2</v>
      </c>
    </row>
    <row r="30" spans="1:8" ht="28.8" x14ac:dyDescent="0.3">
      <c r="B30" s="3" t="s">
        <v>37</v>
      </c>
      <c r="C30" s="3" t="s">
        <v>42</v>
      </c>
      <c r="D30" s="3" t="s">
        <v>47</v>
      </c>
      <c r="E30" s="3" t="s">
        <v>18</v>
      </c>
      <c r="F30" s="3" t="s">
        <v>56</v>
      </c>
      <c r="G30" s="3" t="s">
        <v>61</v>
      </c>
      <c r="H30" s="2">
        <v>10</v>
      </c>
    </row>
    <row r="31" spans="1:8" ht="28.8" x14ac:dyDescent="0.3">
      <c r="B31" s="3" t="s">
        <v>38</v>
      </c>
      <c r="C31" s="3" t="s">
        <v>43</v>
      </c>
      <c r="D31" s="3" t="s">
        <v>48</v>
      </c>
      <c r="E31" s="3" t="s">
        <v>52</v>
      </c>
      <c r="F31" s="3" t="s">
        <v>57</v>
      </c>
      <c r="G31" s="3" t="s">
        <v>62</v>
      </c>
      <c r="H31" s="2">
        <v>10</v>
      </c>
    </row>
    <row r="32" spans="1:8" ht="57.6" x14ac:dyDescent="0.3">
      <c r="B32" s="3" t="s">
        <v>39</v>
      </c>
      <c r="C32" s="3" t="s">
        <v>44</v>
      </c>
      <c r="D32" s="3" t="s">
        <v>49</v>
      </c>
      <c r="E32" s="3" t="s">
        <v>53</v>
      </c>
      <c r="F32" s="3" t="s">
        <v>58</v>
      </c>
      <c r="G32" s="3" t="s">
        <v>63</v>
      </c>
      <c r="H32" s="2">
        <v>8</v>
      </c>
    </row>
    <row r="33" spans="2:8" ht="43.2" x14ac:dyDescent="0.3">
      <c r="B33" s="3" t="s">
        <v>40</v>
      </c>
      <c r="C33" s="7" t="s">
        <v>46</v>
      </c>
      <c r="D33" s="3" t="s">
        <v>50</v>
      </c>
      <c r="E33" s="3" t="s">
        <v>54</v>
      </c>
      <c r="F33" s="3" t="s">
        <v>59</v>
      </c>
      <c r="G33" s="3" t="s">
        <v>64</v>
      </c>
      <c r="H33" s="2">
        <v>10</v>
      </c>
    </row>
    <row r="34" spans="2:8" ht="57.6" x14ac:dyDescent="0.3">
      <c r="B34" s="3" t="s">
        <v>41</v>
      </c>
      <c r="C34" s="3" t="s">
        <v>45</v>
      </c>
      <c r="D34" s="3" t="s">
        <v>51</v>
      </c>
      <c r="E34" s="3" t="s">
        <v>55</v>
      </c>
      <c r="F34" s="3" t="s">
        <v>60</v>
      </c>
      <c r="G34" s="3" t="s">
        <v>65</v>
      </c>
      <c r="H34" s="2">
        <v>9</v>
      </c>
    </row>
    <row r="35" spans="2:8" ht="21.75" customHeight="1" x14ac:dyDescent="0.3">
      <c r="B35" s="4"/>
      <c r="C35" s="4"/>
      <c r="D35" s="4"/>
      <c r="E35" s="4"/>
      <c r="F35" s="4"/>
      <c r="G35" s="2" t="s">
        <v>8</v>
      </c>
      <c r="H35" s="2">
        <f>SUM(H30:H34)</f>
        <v>47</v>
      </c>
    </row>
    <row r="37" spans="2:8" ht="21.75" customHeight="1" x14ac:dyDescent="0.3">
      <c r="G37" s="2" t="s">
        <v>66</v>
      </c>
      <c r="H37" s="2">
        <f>H35+H24</f>
        <v>92</v>
      </c>
    </row>
    <row r="41" spans="2:8" x14ac:dyDescent="0.3">
      <c r="C41" s="20" t="s">
        <v>78</v>
      </c>
      <c r="D41" s="20"/>
      <c r="E41" s="20"/>
      <c r="F41" s="20"/>
    </row>
    <row r="42" spans="2:8" x14ac:dyDescent="0.3">
      <c r="C42" s="16" t="s">
        <v>67</v>
      </c>
      <c r="D42" s="16"/>
      <c r="E42" s="16"/>
      <c r="F42" s="16"/>
    </row>
    <row r="47" spans="2:8" ht="16.5" customHeight="1" x14ac:dyDescent="0.3"/>
    <row r="56" spans="2:8" x14ac:dyDescent="0.3">
      <c r="B56" s="8" t="s">
        <v>83</v>
      </c>
      <c r="H56" s="5" t="s">
        <v>69</v>
      </c>
    </row>
    <row r="57" spans="2:8" x14ac:dyDescent="0.3">
      <c r="B57" s="8" t="s">
        <v>79</v>
      </c>
      <c r="H57" s="5" t="s">
        <v>70</v>
      </c>
    </row>
  </sheetData>
  <mergeCells count="12">
    <mergeCell ref="B27:H27"/>
    <mergeCell ref="C42:F42"/>
    <mergeCell ref="D1:E1"/>
    <mergeCell ref="D2:E2"/>
    <mergeCell ref="B16:H16"/>
    <mergeCell ref="B8:H8"/>
    <mergeCell ref="B5:H5"/>
    <mergeCell ref="C11:E11"/>
    <mergeCell ref="C41:F41"/>
    <mergeCell ref="C10:E10"/>
    <mergeCell ref="C13:E13"/>
    <mergeCell ref="C12:E12"/>
  </mergeCells>
  <pageMargins left="0.70866141732283472" right="0.70866141732283472" top="0.74803149606299213" bottom="0.74803149606299213" header="0.31496062992125984" footer="0.31496062992125984"/>
  <pageSetup scale="61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Alex AR</cp:lastModifiedBy>
  <cp:lastPrinted>2026-07-27T20:55:01Z</cp:lastPrinted>
  <dcterms:created xsi:type="dcterms:W3CDTF">2018-06-09T20:44:27Z</dcterms:created>
  <dcterms:modified xsi:type="dcterms:W3CDTF">2026-08-12T16:39:49Z</dcterms:modified>
</cp:coreProperties>
</file>